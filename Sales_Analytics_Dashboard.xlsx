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Summary Analysis" sheetId="2" state="visible" r:id="rId4"/>
    <sheet name="Top Customers" sheetId="3" state="visible" r:id="rId5"/>
    <sheet name="Power BI Step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<sst xmlns="http://schemas.openxmlformats.org/spreadsheetml/2006/main" count="349" uniqueCount="136">
  <si>
    <t xml:space="preserve">Order ID</t>
  </si>
  <si>
    <t xml:space="preserve">Customer ID</t>
  </si>
  <si>
    <t xml:space="preserve">Customer Name</t>
  </si>
  <si>
    <t xml:space="preserve">Region</t>
  </si>
  <si>
    <t xml:space="preserve">City</t>
  </si>
  <si>
    <t xml:space="preserve">Category</t>
  </si>
  <si>
    <t xml:space="preserve">Product</t>
  </si>
  <si>
    <t xml:space="preserve">Quantity</t>
  </si>
  <si>
    <t xml:space="preserve">Unit Price</t>
  </si>
  <si>
    <t xml:space="preserve">Total Sales</t>
  </si>
  <si>
    <t xml:space="preserve">Profit</t>
  </si>
  <si>
    <t xml:space="preserve">Profit Margin %</t>
  </si>
  <si>
    <t xml:space="preserve">Month</t>
  </si>
  <si>
    <t xml:space="preserve">Quarter</t>
  </si>
  <si>
    <t xml:space="preserve">Payment Method</t>
  </si>
  <si>
    <t xml:space="preserve">Rahul Sharma</t>
  </si>
  <si>
    <t xml:space="preserve">North</t>
  </si>
  <si>
    <t xml:space="preserve">Delhi</t>
  </si>
  <si>
    <t xml:space="preserve">Electronics</t>
  </si>
  <si>
    <t xml:space="preserve">Laptop</t>
  </si>
  <si>
    <t xml:space="preserve">Jan</t>
  </si>
  <si>
    <t xml:space="preserve">Q1</t>
  </si>
  <si>
    <t xml:space="preserve">Credit Card</t>
  </si>
  <si>
    <t xml:space="preserve">Priya Singh</t>
  </si>
  <si>
    <t xml:space="preserve">West</t>
  </si>
  <si>
    <t xml:space="preserve">Mumbai</t>
  </si>
  <si>
    <t xml:space="preserve">Clothing</t>
  </si>
  <si>
    <t xml:space="preserve">Jacket</t>
  </si>
  <si>
    <t xml:space="preserve">UPI</t>
  </si>
  <si>
    <t xml:space="preserve">Amit Verma</t>
  </si>
  <si>
    <t xml:space="preserve">South</t>
  </si>
  <si>
    <t xml:space="preserve">Bangalore</t>
  </si>
  <si>
    <t xml:space="preserve">Phone</t>
  </si>
  <si>
    <t xml:space="preserve">Debit Card</t>
  </si>
  <si>
    <t xml:space="preserve">Books</t>
  </si>
  <si>
    <t xml:space="preserve">Data Science Book</t>
  </si>
  <si>
    <t xml:space="preserve">Sneha Patel</t>
  </si>
  <si>
    <t xml:space="preserve">Ahmedabad</t>
  </si>
  <si>
    <t xml:space="preserve">Headphones</t>
  </si>
  <si>
    <t xml:space="preserve">Vikram Nair</t>
  </si>
  <si>
    <t xml:space="preserve">Chennai</t>
  </si>
  <si>
    <t xml:space="preserve">T-Shirt</t>
  </si>
  <si>
    <t xml:space="preserve">Anjali Mehta</t>
  </si>
  <si>
    <t xml:space="preserve">Pune</t>
  </si>
  <si>
    <t xml:space="preserve">Home</t>
  </si>
  <si>
    <t xml:space="preserve">Table Lamp</t>
  </si>
  <si>
    <t xml:space="preserve">Cash</t>
  </si>
  <si>
    <t xml:space="preserve">Tablet</t>
  </si>
  <si>
    <t xml:space="preserve">Feb</t>
  </si>
  <si>
    <t xml:space="preserve">Rohan Das</t>
  </si>
  <si>
    <t xml:space="preserve">East</t>
  </si>
  <si>
    <t xml:space="preserve">Kolkata</t>
  </si>
  <si>
    <t xml:space="preserve">Python Programming</t>
  </si>
  <si>
    <t xml:space="preserve">Kavya Reddy</t>
  </si>
  <si>
    <t xml:space="preserve">Hyderabad</t>
  </si>
  <si>
    <t xml:space="preserve">Curtains</t>
  </si>
  <si>
    <t xml:space="preserve">Jeans</t>
  </si>
  <si>
    <t xml:space="preserve">Neha Joshi</t>
  </si>
  <si>
    <t xml:space="preserve">Smart Watch</t>
  </si>
  <si>
    <t xml:space="preserve">Arjun Kapoor</t>
  </si>
  <si>
    <t xml:space="preserve">Jaipur</t>
  </si>
  <si>
    <t xml:space="preserve">Bed Sheet Set</t>
  </si>
  <si>
    <t xml:space="preserve">ML Handbook</t>
  </si>
  <si>
    <t xml:space="preserve">Meera Iyer</t>
  </si>
  <si>
    <t xml:space="preserve">Mar</t>
  </si>
  <si>
    <t xml:space="preserve">Wall Clock</t>
  </si>
  <si>
    <t xml:space="preserve">Siddharth Roy</t>
  </si>
  <si>
    <t xml:space="preserve">Formal Shirt</t>
  </si>
  <si>
    <t xml:space="preserve">Tanvi Shah</t>
  </si>
  <si>
    <t xml:space="preserve">SQL Mastery</t>
  </si>
  <si>
    <t xml:space="preserve">Dinner Set</t>
  </si>
  <si>
    <t xml:space="preserve">Karan Malhotra</t>
  </si>
  <si>
    <t xml:space="preserve">Saree</t>
  </si>
  <si>
    <t xml:space="preserve">Divya Nair</t>
  </si>
  <si>
    <t xml:space="preserve">Apr</t>
  </si>
  <si>
    <t xml:space="preserve">Q2</t>
  </si>
  <si>
    <t xml:space="preserve">Sofa Cover</t>
  </si>
  <si>
    <t xml:space="preserve">Rahul Gupta</t>
  </si>
  <si>
    <t xml:space="preserve">Excel for Analysts</t>
  </si>
  <si>
    <t xml:space="preserve">Pooja Sharma</t>
  </si>
  <si>
    <t xml:space="preserve">Lucknow</t>
  </si>
  <si>
    <t xml:space="preserve">Kurta Set</t>
  </si>
  <si>
    <t xml:space="preserve">Photo Frames</t>
  </si>
  <si>
    <t xml:space="preserve">Aditya Singh</t>
  </si>
  <si>
    <t xml:space="preserve">Power BI Guide</t>
  </si>
  <si>
    <t xml:space="preserve">SALES ANALYTICS — SUMMARY DASHBOARD</t>
  </si>
  <si>
    <t xml:space="preserve">KEY PERFORMANCE INDICATORS</t>
  </si>
  <si>
    <t xml:space="preserve">REVENUE BY CATEGORY</t>
  </si>
  <si>
    <t xml:space="preserve">Total Revenue</t>
  </si>
  <si>
    <t xml:space="preserve">Total Profit</t>
  </si>
  <si>
    <t xml:space="preserve">% of Revenue</t>
  </si>
  <si>
    <t xml:space="preserve">Avg Order Value</t>
  </si>
  <si>
    <t xml:space="preserve">Total Orders</t>
  </si>
  <si>
    <t xml:space="preserve">Avg Profit Margin</t>
  </si>
  <si>
    <t xml:space="preserve">Top Category</t>
  </si>
  <si>
    <t xml:space="preserve">TOTAL</t>
  </si>
  <si>
    <t xml:space="preserve">REVENUE BY REGION</t>
  </si>
  <si>
    <t xml:space="preserve">MONTHLY REVENUE TREND</t>
  </si>
  <si>
    <t xml:space="preserve">Revenue</t>
  </si>
  <si>
    <t xml:space="preserve">Orders</t>
  </si>
  <si>
    <t xml:space="preserve">TOP CUSTOMER ANALYSIS</t>
  </si>
  <si>
    <t xml:space="preserve">Rank</t>
  </si>
  <si>
    <t xml:space="preserve">Total Spent</t>
  </si>
  <si>
    <t xml:space="preserve">POWER BI DASHBOARD — STEP BY STEP GUIDE</t>
  </si>
  <si>
    <t xml:space="preserve">Step</t>
  </si>
  <si>
    <t xml:space="preserve">Action</t>
  </si>
  <si>
    <t xml:space="preserve">STEP 1</t>
  </si>
  <si>
    <t xml:space="preserve">Open Power BI Desktop → Get Data → Excel → Select this file → Load 'Raw Data' sheet</t>
  </si>
  <si>
    <t xml:space="preserve">STEP 2</t>
  </si>
  <si>
    <t xml:space="preserve">Go to Transform Data (Power Query) → Check column types → Close &amp; Apply</t>
  </si>
  <si>
    <t xml:space="preserve">STEP 3</t>
  </si>
  <si>
    <t xml:space="preserve">Create Measure: Total Revenue = SUM('Raw Data'[Total Sales])</t>
  </si>
  <si>
    <t xml:space="preserve">STEP 4</t>
  </si>
  <si>
    <t xml:space="preserve">Create Measure: Total Profit = SUM('Raw Data'[Profit])</t>
  </si>
  <si>
    <t xml:space="preserve">STEP 5</t>
  </si>
  <si>
    <t xml:space="preserve">Create Measure: Avg Order Value = AVERAGE('Raw Data'[Total Sales])</t>
  </si>
  <si>
    <t xml:space="preserve">STEP 6</t>
  </si>
  <si>
    <t xml:space="preserve">Create Measure: Profit Margin % = DIVIDE([Total Profit],[Total Revenue])</t>
  </si>
  <si>
    <t xml:space="preserve">STEP 7</t>
  </si>
  <si>
    <t xml:space="preserve">Add 4 KPI Cards → Total Revenue, Total Profit, Avg Order Value, Total Orders</t>
  </si>
  <si>
    <t xml:space="preserve">STEP 8</t>
  </si>
  <si>
    <t xml:space="preserve">Add Clustered Bar Chart → Axis: Category → Values: Total Revenue</t>
  </si>
  <si>
    <t xml:space="preserve">STEP 9</t>
  </si>
  <si>
    <t xml:space="preserve">Add Line Chart → Axis: Month → Values: Total Revenue</t>
  </si>
  <si>
    <t xml:space="preserve">STEP 10</t>
  </si>
  <si>
    <t xml:space="preserve">Add Donut Chart → Legend: Region → Values: Total Revenue</t>
  </si>
  <si>
    <t xml:space="preserve">STEP 11</t>
  </si>
  <si>
    <t xml:space="preserve">Add Stacked Bar → Axis: City → Values: Total Sales</t>
  </si>
  <si>
    <t xml:space="preserve">STEP 12</t>
  </si>
  <si>
    <t xml:space="preserve">Add Slicer → Field: Category (filter all visuals)</t>
  </si>
  <si>
    <t xml:space="preserve">STEP 13</t>
  </si>
  <si>
    <t xml:space="preserve">Add Slicer → Field: Month (filter all visuals)</t>
  </si>
  <si>
    <t xml:space="preserve">STEP 14</t>
  </si>
  <si>
    <t xml:space="preserve">Format: Dark navy theme → White text → Match resume color scheme</t>
  </si>
  <si>
    <t xml:space="preserve">STEP 15</t>
  </si>
  <si>
    <t xml:space="preserve">Save as .pbix → Take screenshot → Upload to GitHub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</si>
</sst>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\₹#,##0"/>
    <numFmt numFmtId="168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0"/>
      <color rgb="FF595959"/>
      <name val="Calibri"/>
      <family val="0"/>
      <charset val="1"/>
    </font>
    <font>
      <b val="true"/>
      <sz val="11"/>
      <color rgb="FF1F4E7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color rgb="FFFFFFFF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F9F9F9"/>
      </patternFill>
    </fill>
    <fill>
      <patternFill patternType="solid">
        <fgColor rgb="FFF2F2F2"/>
        <bgColor rgb="FFF9F9F9"/>
      </patternFill>
    </fill>
    <fill>
      <patternFill patternType="solid">
        <fgColor rgb="FF2E75B6"/>
        <bgColor rgb="FF4F81BD"/>
      </patternFill>
    </fill>
    <fill>
      <patternFill patternType="solid">
        <fgColor rgb="FFD6E4F0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9F9F9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4F81BD"/>
      <rgbColor rgb="FF003300"/>
      <rgbColor rgb="FF333300"/>
      <rgbColor rgb="FF993300"/>
      <rgbColor rgb="FF993366"/>
      <rgbColor rgb="FF1F4E7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'Summary Analysis'!F4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Analysis'!$E$4:$E$8</c:f>
              <c:strCache>
                <c:ptCount val="5"/>
                <c:pt idx="0">
                  <c:v>Category</c:v>
                </c:pt>
                <c:pt idx="1">
                  <c:v>Electronics</c:v>
                </c:pt>
                <c:pt idx="2">
                  <c:v>Clothing</c:v>
                </c:pt>
                <c:pt idx="3">
                  <c:v>Home</c:v>
                </c:pt>
                <c:pt idx="4">
                  <c:v>Books</c:v>
                </c:pt>
              </c:strCache>
            </c:strRef>
          </c:cat>
          <c:val>
            <c:numRef>
              <c:f>'Summary Analysis'!$F$5:$F$8</c:f>
              <c:numCache>
                <c:formatCode>\₹#,##0</c:formatCode>
                <c:ptCount val="4"/>
                <c:pt idx="0">
                  <c:v>249000</c:v>
                </c:pt>
                <c:pt idx="1">
                  <c:v>21400</c:v>
                </c:pt>
                <c:pt idx="2">
                  <c:v>12400</c:v>
                </c:pt>
                <c:pt idx="3">
                  <c:v>5950</c:v>
                </c:pt>
              </c:numCache>
            </c:numRef>
          </c:val>
        </c:ser>
        <c:gapWidth val="150"/>
        <c:overlap val="0"/>
        <c:axId val="75761990"/>
        <c:axId val="76845329"/>
      </c:barChart>
      <c:catAx>
        <c:axId val="757619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845329"/>
        <c:crosses val="autoZero"/>
        <c:auto val="1"/>
        <c:lblAlgn val="ctr"/>
        <c:lblOffset val="100"/>
        <c:noMultiLvlLbl val="0"/>
      </c:catAx>
      <c:valAx>
        <c:axId val="768453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7619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'Summary Analysis'!G12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f4e79"/>
            </a:solidFill>
            <a:ln w="4752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Analysis'!$E$12:$E$16</c:f>
              <c:strCache>
                <c:ptCount val="5"/>
                <c:pt idx="0">
                  <c:v>Month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</c:strCache>
            </c:strRef>
          </c:cat>
          <c:val>
            <c:numRef>
              <c:f>'Summary Analysis'!$G$13:$G$16</c:f>
              <c:numCache>
                <c:formatCode>\₹#,##0</c:formatCode>
                <c:ptCount val="4"/>
                <c:pt idx="0">
                  <c:v>77300</c:v>
                </c:pt>
                <c:pt idx="1">
                  <c:v>33500</c:v>
                </c:pt>
                <c:pt idx="2">
                  <c:v>95400</c:v>
                </c:pt>
                <c:pt idx="3">
                  <c:v>82550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9515263"/>
        <c:axId val="74368788"/>
      </c:lineChart>
      <c:catAx>
        <c:axId val="595152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368788"/>
        <c:crosses val="autoZero"/>
        <c:auto val="1"/>
        <c:lblAlgn val="ctr"/>
        <c:lblOffset val="100"/>
        <c:noMultiLvlLbl val="0"/>
      </c:catAx>
      <c:valAx>
        <c:axId val="743687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5152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'Summary Analysis'!B12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'Summary Analysis'!$A$12:$A$16</c:f>
              <c:strCache>
                <c:ptCount val="5"/>
                <c:pt idx="0">
                  <c:v>Region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East</c:v>
                </c:pt>
              </c:strCache>
            </c:strRef>
          </c:cat>
          <c:val>
            <c:numRef>
              <c:f>'Summary Analysis'!$B$13:$B$16</c:f>
              <c:numCache>
                <c:formatCode>\₹#,##0</c:formatCode>
                <c:ptCount val="4"/>
                <c:pt idx="0">
                  <c:v>133500</c:v>
                </c:pt>
                <c:pt idx="1">
                  <c:v>99900</c:v>
                </c:pt>
                <c:pt idx="2">
                  <c:v>47250</c:v>
                </c:pt>
                <c:pt idx="3">
                  <c:v>8100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0</xdr:rowOff>
    </xdr:from>
    <xdr:to>
      <xdr:col>5</xdr:col>
      <xdr:colOff>528480</xdr:colOff>
      <xdr:row>34</xdr:row>
      <xdr:rowOff>1080</xdr:rowOff>
    </xdr:to>
    <xdr:graphicFrame>
      <xdr:nvGraphicFramePr>
        <xdr:cNvPr id="0" name="Chart 1"/>
        <xdr:cNvGraphicFramePr/>
      </xdr:nvGraphicFramePr>
      <xdr:xfrm>
        <a:off x="0" y="434340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17</xdr:row>
      <xdr:rowOff>0</xdr:rowOff>
    </xdr:from>
    <xdr:to>
      <xdr:col>9</xdr:col>
      <xdr:colOff>669600</xdr:colOff>
      <xdr:row>34</xdr:row>
      <xdr:rowOff>1080</xdr:rowOff>
    </xdr:to>
    <xdr:graphicFrame>
      <xdr:nvGraphicFramePr>
        <xdr:cNvPr id="1" name="Chart 2"/>
        <xdr:cNvGraphicFramePr/>
      </xdr:nvGraphicFramePr>
      <xdr:xfrm>
        <a:off x="3524400" y="434340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17</xdr:row>
      <xdr:rowOff>0</xdr:rowOff>
    </xdr:from>
    <xdr:to>
      <xdr:col>13</xdr:col>
      <xdr:colOff>810720</xdr:colOff>
      <xdr:row>34</xdr:row>
      <xdr:rowOff>1080</xdr:rowOff>
    </xdr:to>
    <xdr:graphicFrame>
      <xdr:nvGraphicFramePr>
        <xdr:cNvPr id="2" name="Chart 3"/>
        <xdr:cNvGraphicFramePr/>
      </xdr:nvGraphicFramePr>
      <xdr:xfrm>
        <a:off x="7894440" y="434340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16"/>
    <col collapsed="false" customWidth="true" hidden="false" outlineLevel="0" max="14" min="13" style="0" width="10"/>
    <col collapsed="false" customWidth="true" hidden="false" outlineLevel="0" max="15" min="15" style="0" width="1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n">
        <v>1001</v>
      </c>
      <c r="B2" s="2" t="n">
        <v>201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n">
        <v>1</v>
      </c>
      <c r="I2" s="3" t="n">
        <v>45000</v>
      </c>
      <c r="J2" s="3" t="n">
        <v>45000</v>
      </c>
      <c r="K2" s="3" t="n">
        <v>9000</v>
      </c>
      <c r="L2" s="4" t="n">
        <f aca="false">K2/J2</f>
        <v>0.2</v>
      </c>
      <c r="M2" s="2" t="s">
        <v>20</v>
      </c>
      <c r="N2" s="2" t="s">
        <v>21</v>
      </c>
      <c r="O2" s="2" t="s">
        <v>22</v>
      </c>
    </row>
    <row r="3" customFormat="false" ht="15" hidden="false" customHeight="false" outlineLevel="0" collapsed="false">
      <c r="A3" s="5" t="n">
        <v>1002</v>
      </c>
      <c r="B3" s="5" t="n">
        <v>202</v>
      </c>
      <c r="C3" s="5" t="s">
        <v>23</v>
      </c>
      <c r="D3" s="5" t="s">
        <v>24</v>
      </c>
      <c r="E3" s="5" t="s">
        <v>25</v>
      </c>
      <c r="F3" s="5" t="s">
        <v>26</v>
      </c>
      <c r="G3" s="5" t="s">
        <v>27</v>
      </c>
      <c r="H3" s="5" t="n">
        <v>2</v>
      </c>
      <c r="I3" s="6" t="n">
        <v>1500</v>
      </c>
      <c r="J3" s="6" t="n">
        <v>3000</v>
      </c>
      <c r="K3" s="6" t="n">
        <v>450</v>
      </c>
      <c r="L3" s="7" t="n">
        <f aca="false">K3/J3</f>
        <v>0.15</v>
      </c>
      <c r="M3" s="5" t="s">
        <v>20</v>
      </c>
      <c r="N3" s="5" t="s">
        <v>21</v>
      </c>
      <c r="O3" s="5" t="s">
        <v>28</v>
      </c>
    </row>
    <row r="4" customFormat="false" ht="15" hidden="false" customHeight="false" outlineLevel="0" collapsed="false">
      <c r="A4" s="2" t="n">
        <v>1003</v>
      </c>
      <c r="B4" s="2" t="n">
        <v>203</v>
      </c>
      <c r="C4" s="2" t="s">
        <v>29</v>
      </c>
      <c r="D4" s="2" t="s">
        <v>30</v>
      </c>
      <c r="E4" s="2" t="s">
        <v>31</v>
      </c>
      <c r="F4" s="2" t="s">
        <v>18</v>
      </c>
      <c r="G4" s="2" t="s">
        <v>32</v>
      </c>
      <c r="H4" s="2" t="n">
        <v>1</v>
      </c>
      <c r="I4" s="3" t="n">
        <v>20000</v>
      </c>
      <c r="J4" s="3" t="n">
        <v>20000</v>
      </c>
      <c r="K4" s="3" t="n">
        <v>3000</v>
      </c>
      <c r="L4" s="4" t="n">
        <f aca="false">K4/J4</f>
        <v>0.15</v>
      </c>
      <c r="M4" s="2" t="s">
        <v>20</v>
      </c>
      <c r="N4" s="2" t="s">
        <v>21</v>
      </c>
      <c r="O4" s="2" t="s">
        <v>33</v>
      </c>
    </row>
    <row r="5" customFormat="false" ht="15" hidden="false" customHeight="false" outlineLevel="0" collapsed="false">
      <c r="A5" s="5" t="n">
        <v>1004</v>
      </c>
      <c r="B5" s="5" t="n">
        <v>201</v>
      </c>
      <c r="C5" s="5" t="s">
        <v>15</v>
      </c>
      <c r="D5" s="5" t="s">
        <v>16</v>
      </c>
      <c r="E5" s="5" t="s">
        <v>17</v>
      </c>
      <c r="F5" s="5" t="s">
        <v>34</v>
      </c>
      <c r="G5" s="5" t="s">
        <v>35</v>
      </c>
      <c r="H5" s="5" t="n">
        <v>3</v>
      </c>
      <c r="I5" s="6" t="n">
        <v>500</v>
      </c>
      <c r="J5" s="6" t="n">
        <v>1500</v>
      </c>
      <c r="K5" s="6" t="n">
        <v>300</v>
      </c>
      <c r="L5" s="7" t="n">
        <f aca="false">K5/J5</f>
        <v>0.2</v>
      </c>
      <c r="M5" s="5" t="s">
        <v>20</v>
      </c>
      <c r="N5" s="5" t="s">
        <v>21</v>
      </c>
      <c r="O5" s="5" t="s">
        <v>28</v>
      </c>
    </row>
    <row r="6" customFormat="false" ht="15" hidden="false" customHeight="false" outlineLevel="0" collapsed="false">
      <c r="A6" s="2" t="n">
        <v>1005</v>
      </c>
      <c r="B6" s="2" t="n">
        <v>204</v>
      </c>
      <c r="C6" s="2" t="s">
        <v>36</v>
      </c>
      <c r="D6" s="2" t="s">
        <v>24</v>
      </c>
      <c r="E6" s="2" t="s">
        <v>37</v>
      </c>
      <c r="F6" s="2" t="s">
        <v>18</v>
      </c>
      <c r="G6" s="2" t="s">
        <v>38</v>
      </c>
      <c r="H6" s="2" t="n">
        <v>2</v>
      </c>
      <c r="I6" s="3" t="n">
        <v>2000</v>
      </c>
      <c r="J6" s="3" t="n">
        <v>4000</v>
      </c>
      <c r="K6" s="3" t="n">
        <v>800</v>
      </c>
      <c r="L6" s="4" t="n">
        <f aca="false">K6/J6</f>
        <v>0.2</v>
      </c>
      <c r="M6" s="2" t="s">
        <v>20</v>
      </c>
      <c r="N6" s="2" t="s">
        <v>21</v>
      </c>
      <c r="O6" s="2" t="s">
        <v>22</v>
      </c>
    </row>
    <row r="7" customFormat="false" ht="15" hidden="false" customHeight="false" outlineLevel="0" collapsed="false">
      <c r="A7" s="5" t="n">
        <v>1006</v>
      </c>
      <c r="B7" s="5" t="n">
        <v>205</v>
      </c>
      <c r="C7" s="5" t="s">
        <v>39</v>
      </c>
      <c r="D7" s="5" t="s">
        <v>30</v>
      </c>
      <c r="E7" s="5" t="s">
        <v>40</v>
      </c>
      <c r="F7" s="5" t="s">
        <v>26</v>
      </c>
      <c r="G7" s="5" t="s">
        <v>41</v>
      </c>
      <c r="H7" s="5" t="n">
        <v>5</v>
      </c>
      <c r="I7" s="6" t="n">
        <v>600</v>
      </c>
      <c r="J7" s="6" t="n">
        <v>3000</v>
      </c>
      <c r="K7" s="6" t="n">
        <v>600</v>
      </c>
      <c r="L7" s="7" t="n">
        <f aca="false">K7/J7</f>
        <v>0.2</v>
      </c>
      <c r="M7" s="5" t="s">
        <v>20</v>
      </c>
      <c r="N7" s="5" t="s">
        <v>21</v>
      </c>
      <c r="O7" s="5" t="s">
        <v>28</v>
      </c>
    </row>
    <row r="8" customFormat="false" ht="15" hidden="false" customHeight="false" outlineLevel="0" collapsed="false">
      <c r="A8" s="2" t="n">
        <v>1007</v>
      </c>
      <c r="B8" s="2" t="n">
        <v>206</v>
      </c>
      <c r="C8" s="2" t="s">
        <v>42</v>
      </c>
      <c r="D8" s="2" t="s">
        <v>24</v>
      </c>
      <c r="E8" s="2" t="s">
        <v>43</v>
      </c>
      <c r="F8" s="2" t="s">
        <v>44</v>
      </c>
      <c r="G8" s="2" t="s">
        <v>45</v>
      </c>
      <c r="H8" s="2" t="n">
        <v>1</v>
      </c>
      <c r="I8" s="3" t="n">
        <v>800</v>
      </c>
      <c r="J8" s="3" t="n">
        <v>800</v>
      </c>
      <c r="K8" s="3" t="n">
        <v>120</v>
      </c>
      <c r="L8" s="4" t="n">
        <f aca="false">K8/J8</f>
        <v>0.15</v>
      </c>
      <c r="M8" s="2" t="s">
        <v>20</v>
      </c>
      <c r="N8" s="2" t="s">
        <v>21</v>
      </c>
      <c r="O8" s="2" t="s">
        <v>46</v>
      </c>
    </row>
    <row r="9" customFormat="false" ht="15" hidden="false" customHeight="false" outlineLevel="0" collapsed="false">
      <c r="A9" s="5" t="n">
        <v>1008</v>
      </c>
      <c r="B9" s="5" t="n">
        <v>202</v>
      </c>
      <c r="C9" s="5" t="s">
        <v>23</v>
      </c>
      <c r="D9" s="5" t="s">
        <v>24</v>
      </c>
      <c r="E9" s="5" t="s">
        <v>25</v>
      </c>
      <c r="F9" s="5" t="s">
        <v>18</v>
      </c>
      <c r="G9" s="5" t="s">
        <v>47</v>
      </c>
      <c r="H9" s="5" t="n">
        <v>1</v>
      </c>
      <c r="I9" s="6" t="n">
        <v>15000</v>
      </c>
      <c r="J9" s="6" t="n">
        <v>15000</v>
      </c>
      <c r="K9" s="6" t="n">
        <v>2250</v>
      </c>
      <c r="L9" s="7" t="n">
        <f aca="false">K9/J9</f>
        <v>0.15</v>
      </c>
      <c r="M9" s="5" t="s">
        <v>48</v>
      </c>
      <c r="N9" s="5" t="s">
        <v>21</v>
      </c>
      <c r="O9" s="5" t="s">
        <v>22</v>
      </c>
    </row>
    <row r="10" customFormat="false" ht="15" hidden="false" customHeight="false" outlineLevel="0" collapsed="false">
      <c r="A10" s="2" t="n">
        <v>1009</v>
      </c>
      <c r="B10" s="2" t="n">
        <v>207</v>
      </c>
      <c r="C10" s="2" t="s">
        <v>49</v>
      </c>
      <c r="D10" s="2" t="s">
        <v>50</v>
      </c>
      <c r="E10" s="2" t="s">
        <v>51</v>
      </c>
      <c r="F10" s="2" t="s">
        <v>34</v>
      </c>
      <c r="G10" s="2" t="s">
        <v>52</v>
      </c>
      <c r="H10" s="2" t="n">
        <v>2</v>
      </c>
      <c r="I10" s="3" t="n">
        <v>450</v>
      </c>
      <c r="J10" s="3" t="n">
        <v>900</v>
      </c>
      <c r="K10" s="3" t="n">
        <v>180</v>
      </c>
      <c r="L10" s="4" t="n">
        <f aca="false">K10/J10</f>
        <v>0.2</v>
      </c>
      <c r="M10" s="2" t="s">
        <v>48</v>
      </c>
      <c r="N10" s="2" t="s">
        <v>21</v>
      </c>
      <c r="O10" s="2" t="s">
        <v>28</v>
      </c>
    </row>
    <row r="11" customFormat="false" ht="15" hidden="false" customHeight="false" outlineLevel="0" collapsed="false">
      <c r="A11" s="5" t="n">
        <v>1010</v>
      </c>
      <c r="B11" s="5" t="n">
        <v>208</v>
      </c>
      <c r="C11" s="5" t="s">
        <v>53</v>
      </c>
      <c r="D11" s="5" t="s">
        <v>30</v>
      </c>
      <c r="E11" s="5" t="s">
        <v>54</v>
      </c>
      <c r="F11" s="5" t="s">
        <v>44</v>
      </c>
      <c r="G11" s="5" t="s">
        <v>55</v>
      </c>
      <c r="H11" s="5" t="n">
        <v>3</v>
      </c>
      <c r="I11" s="6" t="n">
        <v>1200</v>
      </c>
      <c r="J11" s="6" t="n">
        <v>3600</v>
      </c>
      <c r="K11" s="6" t="n">
        <v>540</v>
      </c>
      <c r="L11" s="7" t="n">
        <f aca="false">K11/J11</f>
        <v>0.15</v>
      </c>
      <c r="M11" s="5" t="s">
        <v>48</v>
      </c>
      <c r="N11" s="5" t="s">
        <v>21</v>
      </c>
      <c r="O11" s="5" t="s">
        <v>33</v>
      </c>
    </row>
    <row r="12" customFormat="false" ht="15" hidden="false" customHeight="false" outlineLevel="0" collapsed="false">
      <c r="A12" s="2" t="n">
        <v>1011</v>
      </c>
      <c r="B12" s="2" t="n">
        <v>203</v>
      </c>
      <c r="C12" s="2" t="s">
        <v>29</v>
      </c>
      <c r="D12" s="2" t="s">
        <v>30</v>
      </c>
      <c r="E12" s="2" t="s">
        <v>31</v>
      </c>
      <c r="F12" s="2" t="s">
        <v>26</v>
      </c>
      <c r="G12" s="2" t="s">
        <v>56</v>
      </c>
      <c r="H12" s="2" t="n">
        <v>2</v>
      </c>
      <c r="I12" s="3" t="n">
        <v>1800</v>
      </c>
      <c r="J12" s="3" t="n">
        <v>3600</v>
      </c>
      <c r="K12" s="3" t="n">
        <v>720</v>
      </c>
      <c r="L12" s="4" t="n">
        <f aca="false">K12/J12</f>
        <v>0.2</v>
      </c>
      <c r="M12" s="2" t="s">
        <v>48</v>
      </c>
      <c r="N12" s="2" t="s">
        <v>21</v>
      </c>
      <c r="O12" s="2" t="s">
        <v>28</v>
      </c>
    </row>
    <row r="13" customFormat="false" ht="15" hidden="false" customHeight="false" outlineLevel="0" collapsed="false">
      <c r="A13" s="5" t="n">
        <v>1012</v>
      </c>
      <c r="B13" s="5" t="n">
        <v>209</v>
      </c>
      <c r="C13" s="5" t="s">
        <v>57</v>
      </c>
      <c r="D13" s="5" t="s">
        <v>16</v>
      </c>
      <c r="E13" s="5" t="s">
        <v>17</v>
      </c>
      <c r="F13" s="5" t="s">
        <v>18</v>
      </c>
      <c r="G13" s="5" t="s">
        <v>58</v>
      </c>
      <c r="H13" s="5" t="n">
        <v>1</v>
      </c>
      <c r="I13" s="6" t="n">
        <v>8000</v>
      </c>
      <c r="J13" s="6" t="n">
        <v>8000</v>
      </c>
      <c r="K13" s="6" t="n">
        <v>1600</v>
      </c>
      <c r="L13" s="7" t="n">
        <f aca="false">K13/J13</f>
        <v>0.2</v>
      </c>
      <c r="M13" s="5" t="s">
        <v>48</v>
      </c>
      <c r="N13" s="5" t="s">
        <v>21</v>
      </c>
      <c r="O13" s="5" t="s">
        <v>22</v>
      </c>
    </row>
    <row r="14" customFormat="false" ht="15" hidden="false" customHeight="false" outlineLevel="0" collapsed="false">
      <c r="A14" s="2" t="n">
        <v>1013</v>
      </c>
      <c r="B14" s="2" t="n">
        <v>210</v>
      </c>
      <c r="C14" s="2" t="s">
        <v>59</v>
      </c>
      <c r="D14" s="2" t="s">
        <v>16</v>
      </c>
      <c r="E14" s="2" t="s">
        <v>60</v>
      </c>
      <c r="F14" s="2" t="s">
        <v>44</v>
      </c>
      <c r="G14" s="2" t="s">
        <v>61</v>
      </c>
      <c r="H14" s="2" t="n">
        <v>2</v>
      </c>
      <c r="I14" s="3" t="n">
        <v>900</v>
      </c>
      <c r="J14" s="3" t="n">
        <v>1800</v>
      </c>
      <c r="K14" s="3" t="n">
        <v>270</v>
      </c>
      <c r="L14" s="4" t="n">
        <f aca="false">K14/J14</f>
        <v>0.15</v>
      </c>
      <c r="M14" s="2" t="s">
        <v>48</v>
      </c>
      <c r="N14" s="2" t="s">
        <v>21</v>
      </c>
      <c r="O14" s="2" t="s">
        <v>46</v>
      </c>
    </row>
    <row r="15" customFormat="false" ht="15" hidden="false" customHeight="false" outlineLevel="0" collapsed="false">
      <c r="A15" s="5" t="n">
        <v>1014</v>
      </c>
      <c r="B15" s="5" t="n">
        <v>204</v>
      </c>
      <c r="C15" s="5" t="s">
        <v>36</v>
      </c>
      <c r="D15" s="5" t="s">
        <v>24</v>
      </c>
      <c r="E15" s="5" t="s">
        <v>37</v>
      </c>
      <c r="F15" s="5" t="s">
        <v>34</v>
      </c>
      <c r="G15" s="5" t="s">
        <v>62</v>
      </c>
      <c r="H15" s="5" t="n">
        <v>1</v>
      </c>
      <c r="I15" s="6" t="n">
        <v>600</v>
      </c>
      <c r="J15" s="6" t="n">
        <v>600</v>
      </c>
      <c r="K15" s="6" t="n">
        <v>120</v>
      </c>
      <c r="L15" s="7" t="n">
        <f aca="false">K15/J15</f>
        <v>0.2</v>
      </c>
      <c r="M15" s="5" t="s">
        <v>48</v>
      </c>
      <c r="N15" s="5" t="s">
        <v>21</v>
      </c>
      <c r="O15" s="5" t="s">
        <v>28</v>
      </c>
    </row>
    <row r="16" customFormat="false" ht="15" hidden="false" customHeight="false" outlineLevel="0" collapsed="false">
      <c r="A16" s="2" t="n">
        <v>1015</v>
      </c>
      <c r="B16" s="2" t="n">
        <v>211</v>
      </c>
      <c r="C16" s="2" t="s">
        <v>63</v>
      </c>
      <c r="D16" s="2" t="s">
        <v>30</v>
      </c>
      <c r="E16" s="2" t="s">
        <v>40</v>
      </c>
      <c r="F16" s="2" t="s">
        <v>18</v>
      </c>
      <c r="G16" s="2" t="s">
        <v>19</v>
      </c>
      <c r="H16" s="2" t="n">
        <v>1</v>
      </c>
      <c r="I16" s="3" t="n">
        <v>52000</v>
      </c>
      <c r="J16" s="3" t="n">
        <v>52000</v>
      </c>
      <c r="K16" s="3" t="n">
        <v>10400</v>
      </c>
      <c r="L16" s="4" t="n">
        <f aca="false">K16/J16</f>
        <v>0.2</v>
      </c>
      <c r="M16" s="2" t="s">
        <v>64</v>
      </c>
      <c r="N16" s="2" t="s">
        <v>21</v>
      </c>
      <c r="O16" s="2" t="s">
        <v>22</v>
      </c>
    </row>
    <row r="17" customFormat="false" ht="15" hidden="false" customHeight="false" outlineLevel="0" collapsed="false">
      <c r="A17" s="5" t="n">
        <v>1016</v>
      </c>
      <c r="B17" s="5" t="n">
        <v>205</v>
      </c>
      <c r="C17" s="5" t="s">
        <v>39</v>
      </c>
      <c r="D17" s="5" t="s">
        <v>30</v>
      </c>
      <c r="E17" s="5" t="s">
        <v>40</v>
      </c>
      <c r="F17" s="5" t="s">
        <v>44</v>
      </c>
      <c r="G17" s="5" t="s">
        <v>65</v>
      </c>
      <c r="H17" s="5" t="n">
        <v>2</v>
      </c>
      <c r="I17" s="6" t="n">
        <v>500</v>
      </c>
      <c r="J17" s="6" t="n">
        <v>1000</v>
      </c>
      <c r="K17" s="6" t="n">
        <v>150</v>
      </c>
      <c r="L17" s="7" t="n">
        <f aca="false">K17/J17</f>
        <v>0.15</v>
      </c>
      <c r="M17" s="5" t="s">
        <v>64</v>
      </c>
      <c r="N17" s="5" t="s">
        <v>21</v>
      </c>
      <c r="O17" s="5" t="s">
        <v>28</v>
      </c>
    </row>
    <row r="18" customFormat="false" ht="15" hidden="false" customHeight="false" outlineLevel="0" collapsed="false">
      <c r="A18" s="2" t="n">
        <v>1017</v>
      </c>
      <c r="B18" s="2" t="n">
        <v>212</v>
      </c>
      <c r="C18" s="2" t="s">
        <v>66</v>
      </c>
      <c r="D18" s="2" t="s">
        <v>50</v>
      </c>
      <c r="E18" s="2" t="s">
        <v>51</v>
      </c>
      <c r="F18" s="2" t="s">
        <v>26</v>
      </c>
      <c r="G18" s="2" t="s">
        <v>67</v>
      </c>
      <c r="H18" s="2" t="n">
        <v>3</v>
      </c>
      <c r="I18" s="3" t="n">
        <v>1200</v>
      </c>
      <c r="J18" s="3" t="n">
        <v>3600</v>
      </c>
      <c r="K18" s="3" t="n">
        <v>720</v>
      </c>
      <c r="L18" s="4" t="n">
        <f aca="false">K18/J18</f>
        <v>0.2</v>
      </c>
      <c r="M18" s="2" t="s">
        <v>64</v>
      </c>
      <c r="N18" s="2" t="s">
        <v>21</v>
      </c>
      <c r="O18" s="2" t="s">
        <v>33</v>
      </c>
    </row>
    <row r="19" customFormat="false" ht="15" hidden="false" customHeight="false" outlineLevel="0" collapsed="false">
      <c r="A19" s="5" t="n">
        <v>1018</v>
      </c>
      <c r="B19" s="5" t="n">
        <v>206</v>
      </c>
      <c r="C19" s="5" t="s">
        <v>42</v>
      </c>
      <c r="D19" s="5" t="s">
        <v>24</v>
      </c>
      <c r="E19" s="5" t="s">
        <v>43</v>
      </c>
      <c r="F19" s="5" t="s">
        <v>18</v>
      </c>
      <c r="G19" s="5" t="s">
        <v>32</v>
      </c>
      <c r="H19" s="5" t="n">
        <v>1</v>
      </c>
      <c r="I19" s="6" t="n">
        <v>22000</v>
      </c>
      <c r="J19" s="6" t="n">
        <v>22000</v>
      </c>
      <c r="K19" s="6" t="n">
        <v>3300</v>
      </c>
      <c r="L19" s="7" t="n">
        <f aca="false">K19/J19</f>
        <v>0.15</v>
      </c>
      <c r="M19" s="5" t="s">
        <v>64</v>
      </c>
      <c r="N19" s="5" t="s">
        <v>21</v>
      </c>
      <c r="O19" s="5" t="s">
        <v>22</v>
      </c>
    </row>
    <row r="20" customFormat="false" ht="15" hidden="false" customHeight="false" outlineLevel="0" collapsed="false">
      <c r="A20" s="2" t="n">
        <v>1019</v>
      </c>
      <c r="B20" s="2" t="n">
        <v>213</v>
      </c>
      <c r="C20" s="2" t="s">
        <v>68</v>
      </c>
      <c r="D20" s="2" t="s">
        <v>24</v>
      </c>
      <c r="E20" s="2" t="s">
        <v>25</v>
      </c>
      <c r="F20" s="2" t="s">
        <v>34</v>
      </c>
      <c r="G20" s="2" t="s">
        <v>69</v>
      </c>
      <c r="H20" s="2" t="n">
        <v>2</v>
      </c>
      <c r="I20" s="3" t="n">
        <v>400</v>
      </c>
      <c r="J20" s="3" t="n">
        <v>800</v>
      </c>
      <c r="K20" s="3" t="n">
        <v>160</v>
      </c>
      <c r="L20" s="4" t="n">
        <f aca="false">K20/J20</f>
        <v>0.2</v>
      </c>
      <c r="M20" s="2" t="s">
        <v>64</v>
      </c>
      <c r="N20" s="2" t="s">
        <v>21</v>
      </c>
      <c r="O20" s="2" t="s">
        <v>28</v>
      </c>
    </row>
    <row r="21" customFormat="false" ht="15" hidden="false" customHeight="false" outlineLevel="0" collapsed="false">
      <c r="A21" s="5" t="n">
        <v>1020</v>
      </c>
      <c r="B21" s="5" t="n">
        <v>207</v>
      </c>
      <c r="C21" s="5" t="s">
        <v>49</v>
      </c>
      <c r="D21" s="5" t="s">
        <v>50</v>
      </c>
      <c r="E21" s="5" t="s">
        <v>51</v>
      </c>
      <c r="F21" s="5" t="s">
        <v>44</v>
      </c>
      <c r="G21" s="5" t="s">
        <v>70</v>
      </c>
      <c r="H21" s="5" t="n">
        <v>1</v>
      </c>
      <c r="I21" s="6" t="n">
        <v>2500</v>
      </c>
      <c r="J21" s="6" t="n">
        <v>2500</v>
      </c>
      <c r="K21" s="6" t="n">
        <v>375</v>
      </c>
      <c r="L21" s="7" t="n">
        <f aca="false">K21/J21</f>
        <v>0.15</v>
      </c>
      <c r="M21" s="5" t="s">
        <v>64</v>
      </c>
      <c r="N21" s="5" t="s">
        <v>21</v>
      </c>
      <c r="O21" s="5" t="s">
        <v>46</v>
      </c>
    </row>
    <row r="22" customFormat="false" ht="15" hidden="false" customHeight="false" outlineLevel="0" collapsed="false">
      <c r="A22" s="2" t="n">
        <v>1021</v>
      </c>
      <c r="B22" s="2" t="n">
        <v>214</v>
      </c>
      <c r="C22" s="2" t="s">
        <v>71</v>
      </c>
      <c r="D22" s="2" t="s">
        <v>16</v>
      </c>
      <c r="E22" s="2" t="s">
        <v>17</v>
      </c>
      <c r="F22" s="2" t="s">
        <v>18</v>
      </c>
      <c r="G22" s="2" t="s">
        <v>38</v>
      </c>
      <c r="H22" s="2" t="n">
        <v>3</v>
      </c>
      <c r="I22" s="3" t="n">
        <v>2500</v>
      </c>
      <c r="J22" s="3" t="n">
        <v>7500</v>
      </c>
      <c r="K22" s="3" t="n">
        <v>1500</v>
      </c>
      <c r="L22" s="4" t="n">
        <f aca="false">K22/J22</f>
        <v>0.2</v>
      </c>
      <c r="M22" s="2" t="s">
        <v>64</v>
      </c>
      <c r="N22" s="2" t="s">
        <v>21</v>
      </c>
      <c r="O22" s="2" t="s">
        <v>22</v>
      </c>
    </row>
    <row r="23" customFormat="false" ht="15" hidden="false" customHeight="false" outlineLevel="0" collapsed="false">
      <c r="A23" s="5" t="n">
        <v>1022</v>
      </c>
      <c r="B23" s="5" t="n">
        <v>208</v>
      </c>
      <c r="C23" s="5" t="s">
        <v>53</v>
      </c>
      <c r="D23" s="5" t="s">
        <v>30</v>
      </c>
      <c r="E23" s="5" t="s">
        <v>54</v>
      </c>
      <c r="F23" s="5" t="s">
        <v>26</v>
      </c>
      <c r="G23" s="5" t="s">
        <v>72</v>
      </c>
      <c r="H23" s="5" t="n">
        <v>2</v>
      </c>
      <c r="I23" s="6" t="n">
        <v>3000</v>
      </c>
      <c r="J23" s="6" t="n">
        <v>6000</v>
      </c>
      <c r="K23" s="6" t="n">
        <v>1200</v>
      </c>
      <c r="L23" s="7" t="n">
        <f aca="false">K23/J23</f>
        <v>0.2</v>
      </c>
      <c r="M23" s="5" t="s">
        <v>64</v>
      </c>
      <c r="N23" s="5" t="s">
        <v>21</v>
      </c>
      <c r="O23" s="5" t="s">
        <v>28</v>
      </c>
    </row>
    <row r="24" customFormat="false" ht="15" hidden="false" customHeight="false" outlineLevel="0" collapsed="false">
      <c r="A24" s="2" t="n">
        <v>1023</v>
      </c>
      <c r="B24" s="2" t="n">
        <v>215</v>
      </c>
      <c r="C24" s="2" t="s">
        <v>73</v>
      </c>
      <c r="D24" s="2" t="s">
        <v>30</v>
      </c>
      <c r="E24" s="2" t="s">
        <v>31</v>
      </c>
      <c r="F24" s="2" t="s">
        <v>18</v>
      </c>
      <c r="G24" s="2" t="s">
        <v>58</v>
      </c>
      <c r="H24" s="2" t="n">
        <v>1</v>
      </c>
      <c r="I24" s="3" t="n">
        <v>9500</v>
      </c>
      <c r="J24" s="3" t="n">
        <v>9500</v>
      </c>
      <c r="K24" s="3" t="n">
        <v>1900</v>
      </c>
      <c r="L24" s="4" t="n">
        <f aca="false">K24/J24</f>
        <v>0.2</v>
      </c>
      <c r="M24" s="2" t="s">
        <v>74</v>
      </c>
      <c r="N24" s="2" t="s">
        <v>75</v>
      </c>
      <c r="O24" s="2" t="s">
        <v>33</v>
      </c>
    </row>
    <row r="25" customFormat="false" ht="15" hidden="false" customHeight="false" outlineLevel="0" collapsed="false">
      <c r="A25" s="5" t="n">
        <v>1024</v>
      </c>
      <c r="B25" s="5" t="n">
        <v>209</v>
      </c>
      <c r="C25" s="5" t="s">
        <v>57</v>
      </c>
      <c r="D25" s="5" t="s">
        <v>16</v>
      </c>
      <c r="E25" s="5" t="s">
        <v>17</v>
      </c>
      <c r="F25" s="5" t="s">
        <v>44</v>
      </c>
      <c r="G25" s="5" t="s">
        <v>76</v>
      </c>
      <c r="H25" s="5" t="n">
        <v>1</v>
      </c>
      <c r="I25" s="6" t="n">
        <v>1500</v>
      </c>
      <c r="J25" s="6" t="n">
        <v>1500</v>
      </c>
      <c r="K25" s="6" t="n">
        <v>225</v>
      </c>
      <c r="L25" s="7" t="n">
        <f aca="false">K25/J25</f>
        <v>0.15</v>
      </c>
      <c r="M25" s="5" t="s">
        <v>74</v>
      </c>
      <c r="N25" s="5" t="s">
        <v>75</v>
      </c>
      <c r="O25" s="5" t="s">
        <v>28</v>
      </c>
    </row>
    <row r="26" customFormat="false" ht="15" hidden="false" customHeight="false" outlineLevel="0" collapsed="false">
      <c r="A26" s="2" t="n">
        <v>1025</v>
      </c>
      <c r="B26" s="2" t="n">
        <v>216</v>
      </c>
      <c r="C26" s="2" t="s">
        <v>77</v>
      </c>
      <c r="D26" s="2" t="s">
        <v>24</v>
      </c>
      <c r="E26" s="2" t="s">
        <v>43</v>
      </c>
      <c r="F26" s="2" t="s">
        <v>34</v>
      </c>
      <c r="G26" s="2" t="s">
        <v>78</v>
      </c>
      <c r="H26" s="2" t="n">
        <v>3</v>
      </c>
      <c r="I26" s="3" t="n">
        <v>350</v>
      </c>
      <c r="J26" s="3" t="n">
        <v>1050</v>
      </c>
      <c r="K26" s="3" t="n">
        <v>210</v>
      </c>
      <c r="L26" s="4" t="n">
        <f aca="false">K26/J26</f>
        <v>0.2</v>
      </c>
      <c r="M26" s="2" t="s">
        <v>74</v>
      </c>
      <c r="N26" s="2" t="s">
        <v>75</v>
      </c>
      <c r="O26" s="2" t="s">
        <v>46</v>
      </c>
    </row>
    <row r="27" customFormat="false" ht="15" hidden="false" customHeight="false" outlineLevel="0" collapsed="false">
      <c r="A27" s="5" t="n">
        <v>1026</v>
      </c>
      <c r="B27" s="5" t="n">
        <v>210</v>
      </c>
      <c r="C27" s="5" t="s">
        <v>59</v>
      </c>
      <c r="D27" s="5" t="s">
        <v>16</v>
      </c>
      <c r="E27" s="5" t="s">
        <v>60</v>
      </c>
      <c r="F27" s="5" t="s">
        <v>18</v>
      </c>
      <c r="G27" s="5" t="s">
        <v>47</v>
      </c>
      <c r="H27" s="5" t="n">
        <v>1</v>
      </c>
      <c r="I27" s="6" t="n">
        <v>18000</v>
      </c>
      <c r="J27" s="6" t="n">
        <v>18000</v>
      </c>
      <c r="K27" s="6" t="n">
        <v>2700</v>
      </c>
      <c r="L27" s="7" t="n">
        <f aca="false">K27/J27</f>
        <v>0.15</v>
      </c>
      <c r="M27" s="5" t="s">
        <v>74</v>
      </c>
      <c r="N27" s="5" t="s">
        <v>75</v>
      </c>
      <c r="O27" s="5" t="s">
        <v>22</v>
      </c>
    </row>
    <row r="28" customFormat="false" ht="15" hidden="false" customHeight="false" outlineLevel="0" collapsed="false">
      <c r="A28" s="2" t="n">
        <v>1027</v>
      </c>
      <c r="B28" s="2" t="n">
        <v>217</v>
      </c>
      <c r="C28" s="2" t="s">
        <v>79</v>
      </c>
      <c r="D28" s="2" t="s">
        <v>16</v>
      </c>
      <c r="E28" s="2" t="s">
        <v>80</v>
      </c>
      <c r="F28" s="2" t="s">
        <v>26</v>
      </c>
      <c r="G28" s="2" t="s">
        <v>81</v>
      </c>
      <c r="H28" s="2" t="n">
        <v>2</v>
      </c>
      <c r="I28" s="3" t="n">
        <v>1100</v>
      </c>
      <c r="J28" s="3" t="n">
        <v>2200</v>
      </c>
      <c r="K28" s="3" t="n">
        <v>440</v>
      </c>
      <c r="L28" s="4" t="n">
        <f aca="false">K28/J28</f>
        <v>0.2</v>
      </c>
      <c r="M28" s="2" t="s">
        <v>74</v>
      </c>
      <c r="N28" s="2" t="s">
        <v>75</v>
      </c>
      <c r="O28" s="2" t="s">
        <v>28</v>
      </c>
    </row>
    <row r="29" customFormat="false" ht="15" hidden="false" customHeight="false" outlineLevel="0" collapsed="false">
      <c r="A29" s="5" t="n">
        <v>1028</v>
      </c>
      <c r="B29" s="5" t="n">
        <v>211</v>
      </c>
      <c r="C29" s="5" t="s">
        <v>63</v>
      </c>
      <c r="D29" s="5" t="s">
        <v>30</v>
      </c>
      <c r="E29" s="5" t="s">
        <v>40</v>
      </c>
      <c r="F29" s="5" t="s">
        <v>44</v>
      </c>
      <c r="G29" s="5" t="s">
        <v>82</v>
      </c>
      <c r="H29" s="5" t="n">
        <v>4</v>
      </c>
      <c r="I29" s="6" t="n">
        <v>300</v>
      </c>
      <c r="J29" s="6" t="n">
        <v>1200</v>
      </c>
      <c r="K29" s="6" t="n">
        <v>180</v>
      </c>
      <c r="L29" s="7" t="n">
        <f aca="false">K29/J29</f>
        <v>0.15</v>
      </c>
      <c r="M29" s="5" t="s">
        <v>74</v>
      </c>
      <c r="N29" s="5" t="s">
        <v>75</v>
      </c>
      <c r="O29" s="5" t="s">
        <v>46</v>
      </c>
    </row>
    <row r="30" customFormat="false" ht="15" hidden="false" customHeight="false" outlineLevel="0" collapsed="false">
      <c r="A30" s="2" t="n">
        <v>1029</v>
      </c>
      <c r="B30" s="2" t="n">
        <v>218</v>
      </c>
      <c r="C30" s="2" t="s">
        <v>83</v>
      </c>
      <c r="D30" s="2" t="s">
        <v>16</v>
      </c>
      <c r="E30" s="2" t="s">
        <v>17</v>
      </c>
      <c r="F30" s="2" t="s">
        <v>18</v>
      </c>
      <c r="G30" s="2" t="s">
        <v>19</v>
      </c>
      <c r="H30" s="2" t="n">
        <v>1</v>
      </c>
      <c r="I30" s="3" t="n">
        <v>48000</v>
      </c>
      <c r="J30" s="3" t="n">
        <v>48000</v>
      </c>
      <c r="K30" s="3" t="n">
        <v>9600</v>
      </c>
      <c r="L30" s="4" t="n">
        <f aca="false">K30/J30</f>
        <v>0.2</v>
      </c>
      <c r="M30" s="2" t="s">
        <v>74</v>
      </c>
      <c r="N30" s="2" t="s">
        <v>75</v>
      </c>
      <c r="O30" s="2" t="s">
        <v>22</v>
      </c>
    </row>
    <row r="31" customFormat="false" ht="15" hidden="false" customHeight="false" outlineLevel="0" collapsed="false">
      <c r="A31" s="5" t="n">
        <v>1030</v>
      </c>
      <c r="B31" s="5" t="n">
        <v>212</v>
      </c>
      <c r="C31" s="5" t="s">
        <v>66</v>
      </c>
      <c r="D31" s="5" t="s">
        <v>50</v>
      </c>
      <c r="E31" s="5" t="s">
        <v>51</v>
      </c>
      <c r="F31" s="5" t="s">
        <v>34</v>
      </c>
      <c r="G31" s="5" t="s">
        <v>84</v>
      </c>
      <c r="H31" s="5" t="n">
        <v>2</v>
      </c>
      <c r="I31" s="6" t="n">
        <v>550</v>
      </c>
      <c r="J31" s="6" t="n">
        <v>1100</v>
      </c>
      <c r="K31" s="6" t="n">
        <v>220</v>
      </c>
      <c r="L31" s="7" t="n">
        <f aca="false">K31/J31</f>
        <v>0.2</v>
      </c>
      <c r="M31" s="5" t="s">
        <v>74</v>
      </c>
      <c r="N31" s="5" t="s">
        <v>75</v>
      </c>
      <c r="O31" s="5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8" min="8" style="0" width="14"/>
    <col collapsed="false" customWidth="true" hidden="false" outlineLevel="0" max="9" min="9" style="0" width="2"/>
    <col collapsed="false" customWidth="true" hidden="false" outlineLevel="0" max="10" min="10" style="0" width="14"/>
    <col collapsed="false" customWidth="true" hidden="false" outlineLevel="0" max="12" min="11" style="0" width="16"/>
    <col collapsed="false" customWidth="true" hidden="false" outlineLevel="0" max="14" min="13" style="0" width="14"/>
  </cols>
  <sheetData>
    <row r="1" customFormat="false" ht="34.5" hidden="false" customHeight="true" outlineLevel="0" collapsed="false">
      <c r="A1" s="8" t="s">
        <v>85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3" customFormat="false" ht="21.75" hidden="false" customHeight="true" outlineLevel="0" collapsed="false">
      <c r="A3" s="9" t="s">
        <v>86</v>
      </c>
      <c r="B3" s="9"/>
      <c r="C3" s="9"/>
      <c r="E3" s="10" t="s">
        <v>87</v>
      </c>
      <c r="F3" s="10"/>
      <c r="G3" s="10"/>
      <c r="H3" s="10"/>
    </row>
    <row r="4" customFormat="false" ht="21.75" hidden="false" customHeight="true" outlineLevel="0" collapsed="false">
      <c r="A4" s="11" t="s">
        <v>88</v>
      </c>
      <c r="B4" s="12"/>
      <c r="C4" s="13" t="n">
        <f aca="false">SUM('Raw Data'!J2:J31)</f>
        <v>288750</v>
      </c>
      <c r="E4" s="14" t="s">
        <v>5</v>
      </c>
      <c r="F4" s="14" t="s">
        <v>9</v>
      </c>
      <c r="G4" s="14" t="s">
        <v>89</v>
      </c>
      <c r="H4" s="14" t="s">
        <v>90</v>
      </c>
    </row>
    <row r="5" customFormat="false" ht="19.5" hidden="false" customHeight="true" outlineLevel="0" collapsed="false">
      <c r="A5" s="11" t="s">
        <v>89</v>
      </c>
      <c r="B5" s="12"/>
      <c r="C5" s="13" t="n">
        <f aca="false">SUM('Raw Data'!K2:K31)</f>
        <v>53230</v>
      </c>
      <c r="E5" s="2" t="s">
        <v>18</v>
      </c>
      <c r="F5" s="15" t="n">
        <f aca="false">SUMIF('Raw Data'!F:F,E5,'Raw Data'!J:J)</f>
        <v>249000</v>
      </c>
      <c r="G5" s="15" t="n">
        <f aca="false">SUMIF('Raw Data'!F:F,E5,'Raw Data'!K:K)</f>
        <v>46050</v>
      </c>
      <c r="H5" s="4" t="n">
        <f aca="false">F5/SUM(F5:F8)</f>
        <v>0.862337662337662</v>
      </c>
    </row>
    <row r="6" customFormat="false" ht="19.5" hidden="false" customHeight="true" outlineLevel="0" collapsed="false">
      <c r="A6" s="11" t="s">
        <v>91</v>
      </c>
      <c r="B6" s="12"/>
      <c r="C6" s="13" t="n">
        <f aca="false">AVERAGE('Raw Data'!J2:J31)</f>
        <v>9625</v>
      </c>
      <c r="E6" s="5" t="s">
        <v>26</v>
      </c>
      <c r="F6" s="16" t="n">
        <f aca="false">SUMIF('Raw Data'!F:F,E6,'Raw Data'!J:J)</f>
        <v>21400</v>
      </c>
      <c r="G6" s="16" t="n">
        <f aca="false">SUMIF('Raw Data'!F:F,E6,'Raw Data'!K:K)</f>
        <v>4130</v>
      </c>
      <c r="H6" s="7" t="n">
        <f aca="false">F6/SUM(F5:F8)</f>
        <v>0.0741125541125541</v>
      </c>
    </row>
    <row r="7" customFormat="false" ht="19.5" hidden="false" customHeight="true" outlineLevel="0" collapsed="false">
      <c r="A7" s="11" t="s">
        <v>92</v>
      </c>
      <c r="B7" s="12"/>
      <c r="C7" s="17" t="n">
        <f aca="false">COUNTA('Raw Data'!A2:A31)</f>
        <v>30</v>
      </c>
      <c r="E7" s="2" t="s">
        <v>44</v>
      </c>
      <c r="F7" s="15" t="n">
        <f aca="false">SUMIF('Raw Data'!F:F,E7,'Raw Data'!J:J)</f>
        <v>12400</v>
      </c>
      <c r="G7" s="15" t="n">
        <f aca="false">SUMIF('Raw Data'!F:F,E7,'Raw Data'!K:K)</f>
        <v>1860</v>
      </c>
      <c r="H7" s="4" t="n">
        <f aca="false">F7/SUM(F5:F8)</f>
        <v>0.0429437229437229</v>
      </c>
    </row>
    <row r="8" customFormat="false" ht="19.5" hidden="false" customHeight="true" outlineLevel="0" collapsed="false">
      <c r="A8" s="11" t="s">
        <v>93</v>
      </c>
      <c r="B8" s="12"/>
      <c r="C8" s="18" t="n">
        <f aca="false">AVERAGE('Raw Data'!L2:L31)</f>
        <v>0.18</v>
      </c>
      <c r="E8" s="5" t="s">
        <v>34</v>
      </c>
      <c r="F8" s="16" t="n">
        <f aca="false">SUMIF('Raw Data'!F:F,E8,'Raw Data'!J:J)</f>
        <v>5950</v>
      </c>
      <c r="G8" s="16" t="n">
        <f aca="false">SUMIF('Raw Data'!F:F,E8,'Raw Data'!K:K)</f>
        <v>1190</v>
      </c>
      <c r="H8" s="7" t="n">
        <f aca="false">F8/SUM(F5:F8)</f>
        <v>0.0206060606060606</v>
      </c>
    </row>
    <row r="9" customFormat="false" ht="19.5" hidden="false" customHeight="true" outlineLevel="0" collapsed="false">
      <c r="A9" s="11" t="s">
        <v>94</v>
      </c>
      <c r="B9" s="12"/>
      <c r="C9" s="17" t="str">
        <f aca="false">INDEX('Raw Data'!F2:F31,MATCH(MAX(SUMIF('Raw Data'!F2:F31,'Raw Data'!F2:F31,'Raw Data'!J2:J31)),SUMIF('Raw Data'!F2:F31,'Raw Data'!F2:F31,'Raw Data'!J2:J31),0))</f>
        <v>Electronics</v>
      </c>
      <c r="E9" s="14" t="s">
        <v>95</v>
      </c>
      <c r="F9" s="19" t="n">
        <f aca="false">SUM(F5:F8)</f>
        <v>288750</v>
      </c>
      <c r="G9" s="19" t="n">
        <f aca="false">SUM(G5:G8)</f>
        <v>53230</v>
      </c>
      <c r="H9" s="20" t="n">
        <f aca="false">SUM(H5:H8)</f>
        <v>1</v>
      </c>
    </row>
    <row r="11" customFormat="false" ht="21.75" hidden="false" customHeight="true" outlineLevel="0" collapsed="false">
      <c r="A11" s="10" t="s">
        <v>96</v>
      </c>
      <c r="B11" s="10"/>
      <c r="C11" s="10"/>
      <c r="E11" s="10" t="s">
        <v>97</v>
      </c>
      <c r="F11" s="10"/>
      <c r="G11" s="10"/>
      <c r="H11" s="10"/>
    </row>
    <row r="12" customFormat="false" ht="21.75" hidden="false" customHeight="true" outlineLevel="0" collapsed="false">
      <c r="A12" s="14" t="s">
        <v>3</v>
      </c>
      <c r="B12" s="14" t="s">
        <v>98</v>
      </c>
      <c r="C12" s="14" t="s">
        <v>99</v>
      </c>
      <c r="E12" s="14" t="s">
        <v>12</v>
      </c>
      <c r="F12" s="14" t="s">
        <v>99</v>
      </c>
      <c r="G12" s="14" t="s">
        <v>98</v>
      </c>
      <c r="H12" s="14" t="s">
        <v>10</v>
      </c>
    </row>
    <row r="13" customFormat="false" ht="19.5" hidden="false" customHeight="true" outlineLevel="0" collapsed="false">
      <c r="A13" s="2" t="s">
        <v>16</v>
      </c>
      <c r="B13" s="15" t="n">
        <f aca="false">SUMIF('Raw Data'!D:D,A13,'Raw Data'!J:J)</f>
        <v>133500</v>
      </c>
      <c r="C13" s="2" t="n">
        <f aca="false">COUNTIF('Raw Data'!D:D,A13)</f>
        <v>9</v>
      </c>
      <c r="E13" s="2" t="s">
        <v>20</v>
      </c>
      <c r="F13" s="2" t="n">
        <f aca="false">COUNTIF('Raw Data'!M:M,E13)</f>
        <v>7</v>
      </c>
      <c r="G13" s="15" t="n">
        <f aca="false">SUMIF('Raw Data'!M:M,E13,'Raw Data'!J:J)</f>
        <v>77300</v>
      </c>
      <c r="H13" s="15" t="n">
        <f aca="false">SUMIF('Raw Data'!M:M,E13,'Raw Data'!K:K)</f>
        <v>14270</v>
      </c>
    </row>
    <row r="14" customFormat="false" ht="19.5" hidden="false" customHeight="true" outlineLevel="0" collapsed="false">
      <c r="A14" s="5" t="s">
        <v>30</v>
      </c>
      <c r="B14" s="16" t="n">
        <f aca="false">SUMIF('Raw Data'!D:D,A14,'Raw Data'!J:J)</f>
        <v>99900</v>
      </c>
      <c r="C14" s="5" t="n">
        <f aca="false">COUNTIF('Raw Data'!D:D,A14)</f>
        <v>9</v>
      </c>
      <c r="E14" s="5" t="s">
        <v>48</v>
      </c>
      <c r="F14" s="5" t="n">
        <f aca="false">COUNTIF('Raw Data'!M:M,E14)</f>
        <v>7</v>
      </c>
      <c r="G14" s="16" t="n">
        <f aca="false">SUMIF('Raw Data'!M:M,E14,'Raw Data'!J:J)</f>
        <v>33500</v>
      </c>
      <c r="H14" s="16" t="n">
        <f aca="false">SUMIF('Raw Data'!M:M,E14,'Raw Data'!K:K)</f>
        <v>5680</v>
      </c>
    </row>
    <row r="15" customFormat="false" ht="19.5" hidden="false" customHeight="true" outlineLevel="0" collapsed="false">
      <c r="A15" s="2" t="s">
        <v>24</v>
      </c>
      <c r="B15" s="15" t="n">
        <f aca="false">SUMIF('Raw Data'!D:D,A15,'Raw Data'!J:J)</f>
        <v>47250</v>
      </c>
      <c r="C15" s="2" t="n">
        <f aca="false">COUNTIF('Raw Data'!D:D,A15)</f>
        <v>8</v>
      </c>
      <c r="E15" s="2" t="s">
        <v>64</v>
      </c>
      <c r="F15" s="2" t="n">
        <f aca="false">COUNTIF('Raw Data'!M:M,E15)</f>
        <v>8</v>
      </c>
      <c r="G15" s="15" t="n">
        <f aca="false">SUMIF('Raw Data'!M:M,E15,'Raw Data'!J:J)</f>
        <v>95400</v>
      </c>
      <c r="H15" s="15" t="n">
        <f aca="false">SUMIF('Raw Data'!M:M,E15,'Raw Data'!K:K)</f>
        <v>17805</v>
      </c>
    </row>
    <row r="16" customFormat="false" ht="19.5" hidden="false" customHeight="true" outlineLevel="0" collapsed="false">
      <c r="A16" s="5" t="s">
        <v>50</v>
      </c>
      <c r="B16" s="16" t="n">
        <f aca="false">SUMIF('Raw Data'!D:D,A16,'Raw Data'!J:J)</f>
        <v>8100</v>
      </c>
      <c r="C16" s="5" t="n">
        <f aca="false">COUNTIF('Raw Data'!D:D,A16)</f>
        <v>4</v>
      </c>
      <c r="E16" s="5" t="s">
        <v>74</v>
      </c>
      <c r="F16" s="5" t="n">
        <f aca="false">COUNTIF('Raw Data'!M:M,E16)</f>
        <v>8</v>
      </c>
      <c r="G16" s="16" t="n">
        <f aca="false">SUMIF('Raw Data'!M:M,E16,'Raw Data'!J:J)</f>
        <v>82550</v>
      </c>
      <c r="H16" s="16" t="n">
        <f aca="false">SUMIF('Raw Data'!M:M,E16,'Raw Data'!K:K)</f>
        <v>15475</v>
      </c>
    </row>
  </sheetData>
  <mergeCells count="5">
    <mergeCell ref="A1:N1"/>
    <mergeCell ref="A3:C3"/>
    <mergeCell ref="E3:H3"/>
    <mergeCell ref="A11:C11"/>
    <mergeCell ref="E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5" min="4" style="0" width="14"/>
  </cols>
  <sheetData>
    <row r="1" customFormat="false" ht="30" hidden="false" customHeight="true" outlineLevel="0" collapsed="false">
      <c r="A1" s="21" t="s">
        <v>100</v>
      </c>
      <c r="B1" s="21"/>
      <c r="C1" s="21"/>
      <c r="D1" s="21"/>
      <c r="E1" s="21"/>
    </row>
    <row r="2" customFormat="false" ht="15" hidden="false" customHeight="false" outlineLevel="0" collapsed="false">
      <c r="A2" s="22" t="s">
        <v>101</v>
      </c>
      <c r="B2" s="22" t="s">
        <v>2</v>
      </c>
      <c r="C2" s="22" t="s">
        <v>4</v>
      </c>
      <c r="D2" s="22" t="s">
        <v>92</v>
      </c>
      <c r="E2" s="22" t="s">
        <v>102</v>
      </c>
    </row>
    <row r="3" customFormat="false" ht="18" hidden="false" customHeight="true" outlineLevel="0" collapsed="false">
      <c r="A3" s="23" t="n">
        <v>1</v>
      </c>
      <c r="B3" s="23" t="s">
        <v>63</v>
      </c>
      <c r="C3" s="23" t="s">
        <v>40</v>
      </c>
      <c r="D3" s="23" t="n">
        <v>2</v>
      </c>
      <c r="E3" s="24" t="n">
        <v>53200</v>
      </c>
    </row>
    <row r="4" customFormat="false" ht="18" hidden="false" customHeight="true" outlineLevel="0" collapsed="false">
      <c r="A4" s="5" t="n">
        <v>2</v>
      </c>
      <c r="B4" s="5" t="s">
        <v>83</v>
      </c>
      <c r="C4" s="5" t="s">
        <v>17</v>
      </c>
      <c r="D4" s="5" t="n">
        <v>1</v>
      </c>
      <c r="E4" s="16" t="n">
        <v>48000</v>
      </c>
    </row>
    <row r="5" customFormat="false" ht="18" hidden="false" customHeight="true" outlineLevel="0" collapsed="false">
      <c r="A5" s="2" t="n">
        <v>3</v>
      </c>
      <c r="B5" s="2" t="s">
        <v>15</v>
      </c>
      <c r="C5" s="2" t="s">
        <v>17</v>
      </c>
      <c r="D5" s="2" t="n">
        <v>2</v>
      </c>
      <c r="E5" s="15" t="n">
        <v>46500</v>
      </c>
    </row>
    <row r="6" customFormat="false" ht="18" hidden="false" customHeight="true" outlineLevel="0" collapsed="false">
      <c r="A6" s="5" t="n">
        <v>4</v>
      </c>
      <c r="B6" s="5" t="s">
        <v>42</v>
      </c>
      <c r="C6" s="5" t="s">
        <v>43</v>
      </c>
      <c r="D6" s="5" t="n">
        <v>2</v>
      </c>
      <c r="E6" s="16" t="n">
        <v>22800</v>
      </c>
    </row>
    <row r="7" customFormat="false" ht="18" hidden="false" customHeight="true" outlineLevel="0" collapsed="false">
      <c r="A7" s="2" t="n">
        <v>5</v>
      </c>
      <c r="B7" s="2" t="s">
        <v>59</v>
      </c>
      <c r="C7" s="2" t="s">
        <v>60</v>
      </c>
      <c r="D7" s="2" t="n">
        <v>2</v>
      </c>
      <c r="E7" s="15" t="n">
        <v>19800</v>
      </c>
    </row>
    <row r="8" customFormat="false" ht="18" hidden="false" customHeight="true" outlineLevel="0" collapsed="false">
      <c r="A8" s="5" t="n">
        <v>6</v>
      </c>
      <c r="B8" s="5" t="s">
        <v>73</v>
      </c>
      <c r="C8" s="5" t="s">
        <v>31</v>
      </c>
      <c r="D8" s="5" t="n">
        <v>1</v>
      </c>
      <c r="E8" s="16" t="n">
        <v>9500</v>
      </c>
    </row>
    <row r="9" customFormat="false" ht="18" hidden="false" customHeight="true" outlineLevel="0" collapsed="false">
      <c r="A9" s="2" t="n">
        <v>7</v>
      </c>
      <c r="B9" s="2" t="s">
        <v>57</v>
      </c>
      <c r="C9" s="2" t="s">
        <v>17</v>
      </c>
      <c r="D9" s="2" t="n">
        <v>2</v>
      </c>
      <c r="E9" s="15" t="n">
        <v>9500</v>
      </c>
    </row>
    <row r="10" customFormat="false" ht="18" hidden="false" customHeight="true" outlineLevel="0" collapsed="false">
      <c r="A10" s="5" t="n">
        <v>8</v>
      </c>
      <c r="B10" s="5" t="s">
        <v>71</v>
      </c>
      <c r="C10" s="5" t="s">
        <v>17</v>
      </c>
      <c r="D10" s="5" t="n">
        <v>1</v>
      </c>
      <c r="E10" s="16" t="n">
        <v>7500</v>
      </c>
    </row>
    <row r="11" customFormat="false" ht="18" hidden="false" customHeight="true" outlineLevel="0" collapsed="false">
      <c r="A11" s="2" t="n">
        <v>9</v>
      </c>
      <c r="B11" s="2" t="s">
        <v>53</v>
      </c>
      <c r="C11" s="2" t="s">
        <v>54</v>
      </c>
      <c r="D11" s="2" t="n">
        <v>2</v>
      </c>
      <c r="E11" s="15" t="n">
        <v>9600</v>
      </c>
    </row>
    <row r="12" customFormat="false" ht="18" hidden="false" customHeight="true" outlineLevel="0" collapsed="false">
      <c r="A12" s="5" t="n">
        <v>10</v>
      </c>
      <c r="B12" s="5" t="s">
        <v>23</v>
      </c>
      <c r="C12" s="5" t="s">
        <v>25</v>
      </c>
      <c r="D12" s="5" t="n">
        <v>2</v>
      </c>
      <c r="E12" s="16" t="n">
        <v>18000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0"/>
  </cols>
  <sheetData>
    <row r="1" customFormat="false" ht="30" hidden="false" customHeight="true" outlineLevel="0" collapsed="false">
      <c r="A1" s="25" t="s">
        <v>103</v>
      </c>
      <c r="B1" s="25"/>
      <c r="C1" s="25"/>
      <c r="D1" s="25"/>
    </row>
    <row r="2" customFormat="false" ht="15" hidden="false" customHeight="false" outlineLevel="0" collapsed="false">
      <c r="A2" s="22" t="s">
        <v>104</v>
      </c>
      <c r="B2" s="22" t="s">
        <v>105</v>
      </c>
    </row>
    <row r="3" customFormat="false" ht="21.75" hidden="false" customHeight="true" outlineLevel="0" collapsed="false">
      <c r="A3" s="26" t="s">
        <v>106</v>
      </c>
      <c r="B3" s="27" t="s">
        <v>107</v>
      </c>
    </row>
    <row r="4" customFormat="false" ht="21.75" hidden="false" customHeight="true" outlineLevel="0" collapsed="false">
      <c r="A4" s="26" t="s">
        <v>108</v>
      </c>
      <c r="B4" s="28" t="s">
        <v>109</v>
      </c>
    </row>
    <row r="5" customFormat="false" ht="21.75" hidden="false" customHeight="true" outlineLevel="0" collapsed="false">
      <c r="A5" s="26" t="s">
        <v>110</v>
      </c>
      <c r="B5" s="27" t="s">
        <v>111</v>
      </c>
    </row>
    <row r="6" customFormat="false" ht="21.75" hidden="false" customHeight="true" outlineLevel="0" collapsed="false">
      <c r="A6" s="26" t="s">
        <v>112</v>
      </c>
      <c r="B6" s="28" t="s">
        <v>113</v>
      </c>
    </row>
    <row r="7" customFormat="false" ht="21.75" hidden="false" customHeight="true" outlineLevel="0" collapsed="false">
      <c r="A7" s="26" t="s">
        <v>114</v>
      </c>
      <c r="B7" s="27" t="s">
        <v>115</v>
      </c>
    </row>
    <row r="8" customFormat="false" ht="21.75" hidden="false" customHeight="true" outlineLevel="0" collapsed="false">
      <c r="A8" s="26" t="s">
        <v>116</v>
      </c>
      <c r="B8" s="28" t="s">
        <v>117</v>
      </c>
    </row>
    <row r="9" customFormat="false" ht="21.75" hidden="false" customHeight="true" outlineLevel="0" collapsed="false">
      <c r="A9" s="26" t="s">
        <v>118</v>
      </c>
      <c r="B9" s="27" t="s">
        <v>119</v>
      </c>
    </row>
    <row r="10" customFormat="false" ht="21.75" hidden="false" customHeight="true" outlineLevel="0" collapsed="false">
      <c r="A10" s="26" t="s">
        <v>120</v>
      </c>
      <c r="B10" s="28" t="s">
        <v>121</v>
      </c>
    </row>
    <row r="11" customFormat="false" ht="21.75" hidden="false" customHeight="true" outlineLevel="0" collapsed="false">
      <c r="A11" s="26" t="s">
        <v>122</v>
      </c>
      <c r="B11" s="27" t="s">
        <v>123</v>
      </c>
    </row>
    <row r="12" customFormat="false" ht="21.75" hidden="false" customHeight="true" outlineLevel="0" collapsed="false">
      <c r="A12" s="26" t="s">
        <v>124</v>
      </c>
      <c r="B12" s="28" t="s">
        <v>125</v>
      </c>
    </row>
    <row r="13" customFormat="false" ht="21.75" hidden="false" customHeight="true" outlineLevel="0" collapsed="false">
      <c r="A13" s="26" t="s">
        <v>126</v>
      </c>
      <c r="B13" s="27" t="s">
        <v>127</v>
      </c>
    </row>
    <row r="14" customFormat="false" ht="21.75" hidden="false" customHeight="true" outlineLevel="0" collapsed="false">
      <c r="A14" s="26" t="s">
        <v>128</v>
      </c>
      <c r="B14" s="28" t="s">
        <v>129</v>
      </c>
    </row>
    <row r="15" customFormat="false" ht="21.75" hidden="false" customHeight="true" outlineLevel="0" collapsed="false">
      <c r="A15" s="26" t="s">
        <v>130</v>
      </c>
      <c r="B15" s="27" t="s">
        <v>131</v>
      </c>
    </row>
    <row r="16" customFormat="false" ht="21.75" hidden="false" customHeight="true" outlineLevel="0" collapsed="false">
      <c r="A16" s="26" t="s">
        <v>132</v>
      </c>
      <c r="B16" s="28" t="s">
        <v>133</v>
      </c>
    </row>
    <row r="17" customFormat="false" ht="21.75" hidden="false" customHeight="true" outlineLevel="0" collapsed="false">
      <c r="A17" s="26" t="s">
        <v>134</v>
      </c>
      <c r="B17" s="27" t="s">
        <v>135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2026-06-25T05:19:13Z</dcterms:created>
  <dc:creator>openpyxl</dc:creator>
  <dc:description/>
  <dc:language>en-US</dc:language>
  <cp:lastModifiedBy/>
  <dcterms:modified xsi:type="dcterms:W3CDTF">2026-06-25T05:19:19Z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